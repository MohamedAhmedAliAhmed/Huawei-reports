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wx1019019\Desktop\"/>
    </mc:Choice>
  </mc:AlternateContent>
  <bookViews>
    <workbookView xWindow="-110" yWindow="-110" windowWidth="19420" windowHeight="10420" activeTab="1"/>
  </bookViews>
  <sheets>
    <sheet name="Tablib Dataset" sheetId="1" r:id="rId1"/>
    <sheet name="send via whatsapp" sheetId="3" r:id="rId2"/>
    <sheet name="Sales Owner Filter" sheetId="4" r:id="rId3"/>
    <sheet name="Sales Owner Phone" sheetId="5" r:id="rId4"/>
  </sheets>
  <definedNames>
    <definedName name="_xlnm._FilterDatabase" localSheetId="2" hidden="1">'Sales Owner Filter'!$A$1:$C$63</definedName>
  </definedNames>
  <calcPr calcId="152511"/>
  <pivotCaches>
    <pivotCache cacheId="20" r:id="rId5"/>
  </pivotCaches>
</workbook>
</file>

<file path=xl/calcChain.xml><?xml version="1.0" encoding="utf-8"?>
<calcChain xmlns="http://schemas.openxmlformats.org/spreadsheetml/2006/main">
  <c r="B2" i="3" l="1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E1" i="3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" i="4"/>
  <c r="A4" i="4"/>
  <c r="A5" i="4"/>
  <c r="A2" i="4"/>
  <c r="F1" i="3" l="1"/>
  <c r="D2" i="3"/>
</calcChain>
</file>

<file path=xl/sharedStrings.xml><?xml version="1.0" encoding="utf-8"?>
<sst xmlns="http://schemas.openxmlformats.org/spreadsheetml/2006/main" count="163" uniqueCount="82">
  <si>
    <t>alasdqa</t>
  </si>
  <si>
    <t>2022-12-11 14:54:55</t>
  </si>
  <si>
    <t>ABO RANA</t>
  </si>
  <si>
    <t>K0ki</t>
  </si>
  <si>
    <t xml:space="preserve">Elsawy store </t>
  </si>
  <si>
    <t>Kenda42</t>
  </si>
  <si>
    <t>Sawy37</t>
  </si>
  <si>
    <t>2022-12-05 23:24:43</t>
  </si>
  <si>
    <t xml:space="preserve">Delta market </t>
  </si>
  <si>
    <t>Mahmoud phone</t>
  </si>
  <si>
    <t>Youssef</t>
  </si>
  <si>
    <t>2022-12-11 22:24:57</t>
  </si>
  <si>
    <t>2022-12-11 13:34:46</t>
  </si>
  <si>
    <t>2022-12-09 00:38:35</t>
  </si>
  <si>
    <t>Maka Market</t>
  </si>
  <si>
    <t>khaled</t>
  </si>
  <si>
    <t>2022-12-04 15:54:03</t>
  </si>
  <si>
    <t>2022-12-11 23:26:15</t>
  </si>
  <si>
    <t>KJ</t>
  </si>
  <si>
    <t>Fatoh40</t>
  </si>
  <si>
    <t>Malak41</t>
  </si>
  <si>
    <t>2022-12-11 23:36:13</t>
  </si>
  <si>
    <t>Nasr937</t>
  </si>
  <si>
    <t>Albahouty Market</t>
  </si>
  <si>
    <t>user__username</t>
  </si>
  <si>
    <t>2022-12-06 14:54:30</t>
  </si>
  <si>
    <t xml:space="preserve">Nashawy phone </t>
  </si>
  <si>
    <t xml:space="preserve">Naser market </t>
  </si>
  <si>
    <t>ELTARAWY</t>
  </si>
  <si>
    <t>karim_malaha</t>
  </si>
  <si>
    <t>sawwa</t>
  </si>
  <si>
    <t>2022-12-06 22:10:45</t>
  </si>
  <si>
    <t>Temo00</t>
  </si>
  <si>
    <t>sales_owner__username</t>
  </si>
  <si>
    <t>company_name</t>
  </si>
  <si>
    <t>2022-12-12 00:00:26</t>
  </si>
  <si>
    <t>2022-12-05 22:33:50</t>
  </si>
  <si>
    <t xml:space="preserve">Malak market </t>
  </si>
  <si>
    <t>2022-12-07 21:31:34</t>
  </si>
  <si>
    <t>2022-12-04 17:35:06</t>
  </si>
  <si>
    <t>2022-12-08 15:28:11</t>
  </si>
  <si>
    <t>2022-12-11 23:18:21</t>
  </si>
  <si>
    <t>Ahmed7653</t>
  </si>
  <si>
    <t>mohamed_hhussein</t>
  </si>
  <si>
    <t>albatal</t>
  </si>
  <si>
    <t>7oda43</t>
  </si>
  <si>
    <t>a_rhassan</t>
  </si>
  <si>
    <t>2022-12-11 23:10:20</t>
  </si>
  <si>
    <t xml:space="preserve">Kenda market </t>
  </si>
  <si>
    <t>Moh8093</t>
  </si>
  <si>
    <t>Nashawy38</t>
  </si>
  <si>
    <t>2022-12-01 22:33:06</t>
  </si>
  <si>
    <t>afandina</t>
  </si>
  <si>
    <t>2022-12-07 15:01:01</t>
  </si>
  <si>
    <t>Khaled728</t>
  </si>
  <si>
    <t>id</t>
  </si>
  <si>
    <t>created_at</t>
  </si>
  <si>
    <t>Henish Market</t>
  </si>
  <si>
    <t>2022-12-05 22:22:12</t>
  </si>
  <si>
    <t>Fa22222</t>
  </si>
  <si>
    <t>rashed</t>
  </si>
  <si>
    <t>A4rf</t>
  </si>
  <si>
    <t>MARKET OSMAN</t>
  </si>
  <si>
    <t>Delta39</t>
  </si>
  <si>
    <t>KOKI OSMAN</t>
  </si>
  <si>
    <t>2022-12-05 23:09:11</t>
  </si>
  <si>
    <t>h_maksoud</t>
  </si>
  <si>
    <t>2022-12-06 01:05:52</t>
  </si>
  <si>
    <t>Status</t>
  </si>
  <si>
    <t>Type</t>
  </si>
  <si>
    <t>Active</t>
  </si>
  <si>
    <t>VPC</t>
  </si>
  <si>
    <t>Not Deployed</t>
  </si>
  <si>
    <t>Billing</t>
  </si>
  <si>
    <t>Row Labels</t>
  </si>
  <si>
    <t>Grand Total</t>
  </si>
  <si>
    <t>Count of user__username</t>
  </si>
  <si>
    <t>(blank)</t>
  </si>
  <si>
    <t>Phone</t>
  </si>
  <si>
    <t>Filter</t>
  </si>
  <si>
    <t>+201142865322</t>
  </si>
  <si>
    <t>+201101202420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</si>
</sst>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center"/>
    </xf>
    <xf numFmtId="0" fontId="2" fillId="0" borderId="0" xfId="0" applyFont="1"/>
    <xf numFmtId="0" fontId="0" fillId="0" borderId="1" xfId="0" pivotButton="1" applyBorder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quotePrefix="1"/>
  </cellXfs>
  <cellStyles count="1">
    <cellStyle name="Normal" xfId="0" builtinId="0"/>
  </cellStyles>
  <dxfs count="20"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14999847407452621"/>
        </patternFill>
      </fill>
    </dxf>
    <dxf>
      <alignment horizontal="center"/>
    </dxf>
    <dxf>
      <alignment horizontal="center"/>
    </dxf>
    <dxf>
      <fill>
        <patternFill patternType="solid">
          <bgColor theme="0" tint="-0.14999847407452621"/>
        </patternFill>
      </fill>
    </dxf>
    <dxf>
      <alignment horizontal="center"/>
    </dxf>
    <dxf>
      <fill>
        <patternFill>
          <bgColor theme="0" tint="-0.14999847407452621"/>
        </patternFill>
      </fill>
    </dxf>
    <dxf>
      <fill>
        <patternFill patternType="solid">
          <bgColor theme="0" tint="-4.9989318521683403E-2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577850</xdr:colOff>
          <xdr:row>0</xdr:row>
          <xdr:rowOff>0</xdr:rowOff>
        </xdr:from>
        <xdr:to>
          <xdr:col>5</xdr:col>
          <xdr:colOff>336550</xdr:colOff>
          <xdr:row>2</xdr:row>
          <xdr:rowOff>120650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Via Whatsapp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ohamed Ahmed Ali Ahmed" refreshedDate="44910.068888657406" createdVersion="8" refreshedVersion="5" minRefreshableVersion="3" recordCount="23">
  <cacheSource type="worksheet">
    <worksheetSource ref="A1:G1048576" sheet="Tablib Dataset"/>
  </cacheSource>
  <cacheFields count="7">
    <cacheField name="id" numFmtId="0">
      <sharedItems containsString="0" containsBlank="1" containsNumber="1" containsInteger="1" minValue="642022" maxValue="648677"/>
    </cacheField>
    <cacheField name="created_at" numFmtId="0">
      <sharedItems containsBlank="1"/>
    </cacheField>
    <cacheField name="company_name" numFmtId="0">
      <sharedItems containsBlank="1" count="23">
        <s v="Mahmoud phone"/>
        <s v="Kenda market "/>
        <s v="Malak market "/>
        <s v="Naser market "/>
        <s v="Delta market "/>
        <s v="sawwa"/>
        <s v="MARKET OSMAN"/>
        <s v="alasdqa"/>
        <s v="khaled"/>
        <s v="ABO RANA"/>
        <s v="KOKI OSMAN"/>
        <s v="albatal"/>
        <s v="ELTARAWY"/>
        <s v="KJ"/>
        <s v="Henish Market"/>
        <s v="Nashawy phone "/>
        <s v="Elsawy store "/>
        <s v="afandina"/>
        <s v="Maka Market"/>
        <s v="rashed"/>
        <s v="Youssef"/>
        <s v="Albahouty Market"/>
        <m/>
      </sharedItems>
    </cacheField>
    <cacheField name="user__username" numFmtId="0">
      <sharedItems containsBlank="1" containsMixedTypes="1" containsNumber="1" containsInteger="1" minValue="1008683860" maxValue="1278093386"/>
    </cacheField>
    <cacheField name="sales_owner__username" numFmtId="0">
      <sharedItems containsBlank="1" count="5">
        <s v="mohamed_hhussein"/>
        <s v="a_rhassan"/>
        <s v="karim_malaha"/>
        <s v="h_maksoud"/>
        <m/>
      </sharedItems>
    </cacheField>
    <cacheField name="Status" numFmtId="0">
      <sharedItems containsBlank="1" count="3">
        <s v="Not Deployed"/>
        <s v="Active"/>
        <m/>
      </sharedItems>
    </cacheField>
    <cacheField name="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n v="648677"/>
    <s v="2022-12-12 00:00:26"/>
    <x v="0"/>
    <s v="7oda43"/>
    <x v="0"/>
    <x v="0"/>
    <s v="Billing"/>
  </r>
  <r>
    <n v="648660"/>
    <s v="2022-12-11 23:36:13"/>
    <x v="1"/>
    <s v="Kenda42"/>
    <x v="0"/>
    <x v="0"/>
    <s v="Billing"/>
  </r>
  <r>
    <n v="648653"/>
    <s v="2022-12-11 23:26:15"/>
    <x v="2"/>
    <s v="Malak41"/>
    <x v="0"/>
    <x v="0"/>
    <s v="Billing"/>
  </r>
  <r>
    <n v="648648"/>
    <s v="2022-12-11 23:18:21"/>
    <x v="3"/>
    <s v="Fatoh40"/>
    <x v="0"/>
    <x v="0"/>
    <s v="Billing"/>
  </r>
  <r>
    <n v="648643"/>
    <s v="2022-12-11 23:10:20"/>
    <x v="4"/>
    <s v="Delta39"/>
    <x v="0"/>
    <x v="0"/>
    <s v="Billing"/>
  </r>
  <r>
    <n v="648629"/>
    <s v="2022-12-11 22:24:57"/>
    <x v="5"/>
    <n v="1008683860"/>
    <x v="1"/>
    <x v="0"/>
    <s v="Billing"/>
  </r>
  <r>
    <n v="648297"/>
    <s v="2022-12-11 14:54:55"/>
    <x v="6"/>
    <s v="Fa22222"/>
    <x v="2"/>
    <x v="1"/>
    <s v="Billing"/>
  </r>
  <r>
    <n v="648248"/>
    <s v="2022-12-11 13:34:46"/>
    <x v="7"/>
    <n v="1278093386"/>
    <x v="1"/>
    <x v="1"/>
    <s v="Billing"/>
  </r>
  <r>
    <n v="646903"/>
    <s v="2022-12-09 00:38:35"/>
    <x v="8"/>
    <s v="Khaled728"/>
    <x v="1"/>
    <x v="1"/>
    <s v="Billing"/>
  </r>
  <r>
    <n v="646592"/>
    <s v="2022-12-08 15:28:11"/>
    <x v="9"/>
    <s v="A4rf"/>
    <x v="2"/>
    <x v="1"/>
    <s v="Billing"/>
  </r>
  <r>
    <n v="646232"/>
    <s v="2022-12-07 21:31:34"/>
    <x v="10"/>
    <s v="K0ki"/>
    <x v="2"/>
    <x v="1"/>
    <s v="Billing"/>
  </r>
  <r>
    <n v="645947"/>
    <s v="2022-12-07 15:01:01"/>
    <x v="11"/>
    <n v="1229125147"/>
    <x v="1"/>
    <x v="1"/>
    <s v="VPC"/>
  </r>
  <r>
    <n v="645553"/>
    <s v="2022-12-06 22:10:45"/>
    <x v="12"/>
    <s v="Temo00"/>
    <x v="2"/>
    <x v="1"/>
    <s v="Billing"/>
  </r>
  <r>
    <n v="645222"/>
    <s v="2022-12-06 14:54:30"/>
    <x v="13"/>
    <n v="1228161831"/>
    <x v="3"/>
    <x v="0"/>
    <s v="Billing"/>
  </r>
  <r>
    <n v="644918"/>
    <s v="2022-12-06 01:05:52"/>
    <x v="14"/>
    <n v="1009235255"/>
    <x v="3"/>
    <x v="1"/>
    <s v="Billing"/>
  </r>
  <r>
    <n v="644851"/>
    <s v="2022-12-05 23:24:43"/>
    <x v="15"/>
    <s v="Nashawy38"/>
    <x v="0"/>
    <x v="0"/>
    <s v="Billing"/>
  </r>
  <r>
    <n v="644843"/>
    <s v="2022-12-05 23:09:11"/>
    <x v="16"/>
    <s v="Sawy37"/>
    <x v="0"/>
    <x v="1"/>
    <s v="Billing"/>
  </r>
  <r>
    <n v="644816"/>
    <s v="2022-12-05 22:33:50"/>
    <x v="17"/>
    <s v="Ahmed7653"/>
    <x v="1"/>
    <x v="1"/>
    <s v="Billing"/>
  </r>
  <r>
    <n v="644807"/>
    <s v="2022-12-05 22:22:12"/>
    <x v="18"/>
    <n v="1028776563"/>
    <x v="3"/>
    <x v="1"/>
    <s v="Billing"/>
  </r>
  <r>
    <n v="643720"/>
    <s v="2022-12-04 17:35:06"/>
    <x v="19"/>
    <s v="Nasr937"/>
    <x v="1"/>
    <x v="1"/>
    <s v="VPC"/>
  </r>
  <r>
    <n v="643644"/>
    <s v="2022-12-04 15:54:03"/>
    <x v="20"/>
    <s v="Moh8093"/>
    <x v="1"/>
    <x v="1"/>
    <s v="Billing"/>
  </r>
  <r>
    <n v="642022"/>
    <s v="2022-12-01 22:33:06"/>
    <x v="21"/>
    <n v="1013059903"/>
    <x v="3"/>
    <x v="1"/>
    <s v="Billing"/>
  </r>
  <r>
    <m/>
    <m/>
    <x v="22"/>
    <m/>
    <x v="4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0" applyNumberFormats="0" applyBorderFormats="0" applyFontFormats="0" applyPatternFormats="0" applyAlignmentFormats="0" applyWidthHeightFormats="1" dataCaption="Values" updatedVersion="5" minRefreshableVersion="3" useAutoFormatting="1" itemPrintTitles="1" createdVersion="8" indent="0" outline="1" outlineData="1" multipleFieldFilters="0">
  <location ref="A3:B13" firstHeaderRow="1" firstDataRow="1" firstDataCol="1" rowPageCount="1" colPageCount="1"/>
  <pivotFields count="7">
    <pivotField showAll="0"/>
    <pivotField showAll="0"/>
    <pivotField axis="axisRow" showAll="0">
      <items count="24">
        <item x="9"/>
        <item x="17"/>
        <item x="7"/>
        <item x="21"/>
        <item x="11"/>
        <item x="4"/>
        <item x="16"/>
        <item x="12"/>
        <item x="14"/>
        <item x="1"/>
        <item x="8"/>
        <item x="13"/>
        <item x="10"/>
        <item x="0"/>
        <item x="18"/>
        <item x="2"/>
        <item x="6"/>
        <item x="3"/>
        <item x="15"/>
        <item x="19"/>
        <item x="5"/>
        <item x="20"/>
        <item x="22"/>
        <item t="default"/>
      </items>
    </pivotField>
    <pivotField dataField="1" showAll="0"/>
    <pivotField axis="axisPage" showAll="0">
      <items count="6">
        <item x="1"/>
        <item x="3"/>
        <item x="2"/>
        <item x="0"/>
        <item x="4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</pivotFields>
  <rowFields count="2">
    <field x="5"/>
    <field x="2"/>
  </rowFields>
  <rowItems count="10">
    <i>
      <x/>
    </i>
    <i r="1">
      <x v="6"/>
    </i>
    <i>
      <x v="1"/>
    </i>
    <i r="1">
      <x v="5"/>
    </i>
    <i r="1">
      <x v="9"/>
    </i>
    <i r="1">
      <x v="13"/>
    </i>
    <i r="1">
      <x v="15"/>
    </i>
    <i r="1">
      <x v="17"/>
    </i>
    <i r="1">
      <x v="18"/>
    </i>
    <i t="grand">
      <x/>
    </i>
  </rowItems>
  <colItems count="1">
    <i/>
  </colItems>
  <pageFields count="1">
    <pageField fld="4" item="3" hier="-1"/>
  </pageFields>
  <dataFields count="1">
    <dataField name="Count of user__username" fld="3" subtotal="count" baseField="0" baseItem="0"/>
  </dataFields>
  <formats count="19">
    <format dxfId="19">
      <pivotArea type="all" dataOnly="0" outline="0" fieldPosition="0"/>
    </format>
    <format dxfId="18">
      <pivotArea field="4" type="button" dataOnly="0" labelOnly="1" outline="0" axis="axisPage" fieldPosition="0"/>
    </format>
    <format dxfId="17">
      <pivotArea dataOnly="0" labelOnly="1" fieldPosition="0">
        <references count="1">
          <reference field="4" count="0"/>
        </references>
      </pivotArea>
    </format>
    <format dxfId="16">
      <pivotArea dataOnly="0" labelOnly="1" grandRow="1" outline="0" fieldPosition="0"/>
    </format>
    <format dxfId="15">
      <pivotArea type="all" dataOnly="0" outline="0" fieldPosition="0"/>
    </format>
    <format dxfId="14">
      <pivotArea field="4" type="button" dataOnly="0" labelOnly="1" outline="0" axis="axisPage" fieldPosition="0"/>
    </format>
    <format dxfId="13">
      <pivotArea dataOnly="0" labelOnly="1" fieldPosition="0">
        <references count="1">
          <reference field="4" count="0"/>
        </references>
      </pivotArea>
    </format>
    <format dxfId="12">
      <pivotArea dataOnly="0" labelOnly="1" grandRow="1" outline="0" fieldPosition="0"/>
    </format>
    <format dxfId="11">
      <pivotArea dataOnly="0" labelOnly="1" fieldPosition="0">
        <references count="1">
          <reference field="4" count="1">
            <x v="0"/>
          </reference>
        </references>
      </pivotArea>
    </format>
    <format dxfId="10">
      <pivotArea dataOnly="0" labelOnly="1" fieldPosition="0">
        <references count="1">
          <reference field="4" count="1">
            <x v="0"/>
          </reference>
        </references>
      </pivotArea>
    </format>
    <format dxfId="9">
      <pivotArea dataOnly="0" labelOnly="1" fieldPosition="0">
        <references count="1">
          <reference field="4" count="1">
            <x v="0"/>
          </reference>
        </references>
      </pivotArea>
    </format>
    <format dxfId="8">
      <pivotArea dataOnly="0" labelOnly="1" fieldPosition="0">
        <references count="1">
          <reference field="4" count="1">
            <x v="1"/>
          </reference>
        </references>
      </pivotArea>
    </format>
    <format dxfId="7">
      <pivotArea dataOnly="0" labelOnly="1" fieldPosition="0">
        <references count="1">
          <reference field="4" count="1">
            <x v="1"/>
          </reference>
        </references>
      </pivotArea>
    </format>
    <format dxfId="6">
      <pivotArea dataOnly="0" labelOnly="1" fieldPosition="0">
        <references count="1">
          <reference field="4" count="1">
            <x v="2"/>
          </reference>
        </references>
      </pivotArea>
    </format>
    <format dxfId="5">
      <pivotArea dataOnly="0" labelOnly="1" fieldPosition="0">
        <references count="1">
          <reference field="4" count="1">
            <x v="2"/>
          </reference>
        </references>
      </pivotArea>
    </format>
    <format dxfId="4">
      <pivotArea dataOnly="0" labelOnly="1" fieldPosition="0">
        <references count="1">
          <reference field="4" count="1">
            <x v="3"/>
          </reference>
        </references>
      </pivotArea>
    </format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dataOnly="0" labelOnly="1" fieldPosition="0">
        <references count="1">
          <reference field="4" count="0"/>
        </references>
      </pivotArea>
    </format>
  </formats>
  <pivotTableStyleInfo name="PivotStyleMedium13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Values" updatedVersion="5" minRefreshableVersion="3" useAutoFormatting="1" rowGrandTotals="0" itemPrintTitles="1" createdVersion="5" indent="0" outline="1" outlineData="1" multipleFieldFilters="0">
  <location ref="B1:B6" firstHeaderRow="1" firstDataRow="1" firstDataCol="1"/>
  <pivotFields count="7">
    <pivotField showAll="0"/>
    <pivotField showAll="0"/>
    <pivotField showAll="0"/>
    <pivotField showAll="0"/>
    <pivotField axis="axisRow" showAll="0">
      <items count="6">
        <item x="1"/>
        <item x="4"/>
        <item x="3"/>
        <item x="2"/>
        <item x="0"/>
        <item t="default"/>
      </items>
    </pivotField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>
      <x v="4"/>
    </i>
  </rowItems>
  <colItems count="1">
    <i/>
  </colItem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B5" totalsRowShown="0">
  <autoFilter ref="A1:B5"/>
  <tableColumns count="2">
    <tableColumn id="1" name="sales_owner__username"/>
    <tableColumn id="2" name="Phon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3"/>
  <sheetViews>
    <sheetView workbookViewId="0">
      <pane ySplit="1" topLeftCell="A2" activePane="bottomLeft" state="frozen"/>
      <selection pane="bottomLeft" activeCell="A2" sqref="A2:G23"/>
    </sheetView>
  </sheetViews>
  <sheetFormatPr defaultRowHeight="14.5" x14ac:dyDescent="0.35"/>
  <cols>
    <col min="1" max="1" width="6.81640625" style="2" bestFit="1" customWidth="1"/>
    <col min="2" max="2" width="17.81640625" style="2" bestFit="1" customWidth="1"/>
    <col min="3" max="3" width="15.90625" style="2" bestFit="1" customWidth="1"/>
    <col min="4" max="4" width="14.90625" style="2" bestFit="1" customWidth="1"/>
    <col min="5" max="5" width="21.90625" style="2" bestFit="1" customWidth="1"/>
    <col min="6" max="6" width="15.6328125" style="2" bestFit="1" customWidth="1"/>
    <col min="7" max="16384" width="8.7265625" style="2"/>
  </cols>
  <sheetData>
    <row r="1" spans="1:7" x14ac:dyDescent="0.35">
      <c r="A1" s="1" t="s">
        <v>55</v>
      </c>
      <c r="B1" s="1" t="s">
        <v>56</v>
      </c>
      <c r="C1" s="1" t="s">
        <v>34</v>
      </c>
      <c r="D1" s="1" t="s">
        <v>24</v>
      </c>
      <c r="E1" s="1" t="s">
        <v>33</v>
      </c>
      <c r="F1" s="1" t="s">
        <v>68</v>
      </c>
      <c r="G1" s="2" t="s">
        <v>69</v>
      </c>
    </row>
    <row r="2" spans="1:7" x14ac:dyDescent="0.35">
      <c r="A2" s="2">
        <v>648677</v>
      </c>
      <c r="B2" s="2" t="s">
        <v>35</v>
      </c>
      <c r="C2" s="2" t="s">
        <v>9</v>
      </c>
      <c r="D2" s="2" t="s">
        <v>45</v>
      </c>
      <c r="E2" s="2" t="s">
        <v>43</v>
      </c>
      <c r="F2" s="2" t="s">
        <v>72</v>
      </c>
      <c r="G2" s="2" t="s">
        <v>73</v>
      </c>
    </row>
    <row r="3" spans="1:7" x14ac:dyDescent="0.35">
      <c r="A3" s="2">
        <v>648660</v>
      </c>
      <c r="B3" s="2" t="s">
        <v>21</v>
      </c>
      <c r="C3" s="2" t="s">
        <v>48</v>
      </c>
      <c r="D3" s="2" t="s">
        <v>5</v>
      </c>
      <c r="E3" s="2" t="s">
        <v>43</v>
      </c>
      <c r="F3" s="2" t="s">
        <v>72</v>
      </c>
      <c r="G3" s="2" t="s">
        <v>73</v>
      </c>
    </row>
    <row r="4" spans="1:7" x14ac:dyDescent="0.35">
      <c r="A4" s="2">
        <v>648653</v>
      </c>
      <c r="B4" s="2" t="s">
        <v>17</v>
      </c>
      <c r="C4" s="2" t="s">
        <v>37</v>
      </c>
      <c r="D4" s="2" t="s">
        <v>20</v>
      </c>
      <c r="E4" s="2" t="s">
        <v>43</v>
      </c>
      <c r="F4" s="2" t="s">
        <v>72</v>
      </c>
      <c r="G4" s="2" t="s">
        <v>73</v>
      </c>
    </row>
    <row r="5" spans="1:7" x14ac:dyDescent="0.35">
      <c r="A5" s="2">
        <v>648648</v>
      </c>
      <c r="B5" s="2" t="s">
        <v>41</v>
      </c>
      <c r="C5" s="2" t="s">
        <v>27</v>
      </c>
      <c r="D5" s="2" t="s">
        <v>19</v>
      </c>
      <c r="E5" s="2" t="s">
        <v>43</v>
      </c>
      <c r="F5" s="2" t="s">
        <v>72</v>
      </c>
      <c r="G5" s="2" t="s">
        <v>73</v>
      </c>
    </row>
    <row r="6" spans="1:7" x14ac:dyDescent="0.35">
      <c r="A6" s="2">
        <v>648643</v>
      </c>
      <c r="B6" s="2" t="s">
        <v>47</v>
      </c>
      <c r="C6" s="2" t="s">
        <v>8</v>
      </c>
      <c r="D6" s="2" t="s">
        <v>63</v>
      </c>
      <c r="E6" s="2" t="s">
        <v>43</v>
      </c>
      <c r="F6" s="2" t="s">
        <v>72</v>
      </c>
      <c r="G6" s="2" t="s">
        <v>73</v>
      </c>
    </row>
    <row r="7" spans="1:7" x14ac:dyDescent="0.35">
      <c r="A7" s="2">
        <v>648629</v>
      </c>
      <c r="B7" s="2" t="s">
        <v>11</v>
      </c>
      <c r="C7" s="2" t="s">
        <v>30</v>
      </c>
      <c r="D7" s="2">
        <v>1008683860</v>
      </c>
      <c r="E7" s="2" t="s">
        <v>46</v>
      </c>
      <c r="F7" s="2" t="s">
        <v>72</v>
      </c>
      <c r="G7" s="2" t="s">
        <v>73</v>
      </c>
    </row>
    <row r="8" spans="1:7" x14ac:dyDescent="0.35">
      <c r="A8" s="2">
        <v>648297</v>
      </c>
      <c r="B8" s="2" t="s">
        <v>1</v>
      </c>
      <c r="C8" s="2" t="s">
        <v>62</v>
      </c>
      <c r="D8" s="2" t="s">
        <v>59</v>
      </c>
      <c r="E8" s="2" t="s">
        <v>29</v>
      </c>
      <c r="F8" s="2" t="s">
        <v>70</v>
      </c>
      <c r="G8" s="2" t="s">
        <v>73</v>
      </c>
    </row>
    <row r="9" spans="1:7" x14ac:dyDescent="0.35">
      <c r="A9" s="2">
        <v>648248</v>
      </c>
      <c r="B9" s="2" t="s">
        <v>12</v>
      </c>
      <c r="C9" s="2" t="s">
        <v>0</v>
      </c>
      <c r="D9" s="2">
        <v>1278093386</v>
      </c>
      <c r="E9" s="2" t="s">
        <v>46</v>
      </c>
      <c r="F9" s="2" t="s">
        <v>70</v>
      </c>
      <c r="G9" s="2" t="s">
        <v>73</v>
      </c>
    </row>
    <row r="10" spans="1:7" x14ac:dyDescent="0.35">
      <c r="A10" s="2">
        <v>646903</v>
      </c>
      <c r="B10" s="2" t="s">
        <v>13</v>
      </c>
      <c r="C10" s="2" t="s">
        <v>15</v>
      </c>
      <c r="D10" s="2" t="s">
        <v>54</v>
      </c>
      <c r="E10" s="2" t="s">
        <v>46</v>
      </c>
      <c r="F10" s="2" t="s">
        <v>70</v>
      </c>
      <c r="G10" s="2" t="s">
        <v>73</v>
      </c>
    </row>
    <row r="11" spans="1:7" x14ac:dyDescent="0.35">
      <c r="A11" s="2">
        <v>646592</v>
      </c>
      <c r="B11" s="2" t="s">
        <v>40</v>
      </c>
      <c r="C11" s="2" t="s">
        <v>2</v>
      </c>
      <c r="D11" s="2" t="s">
        <v>61</v>
      </c>
      <c r="E11" s="2" t="s">
        <v>29</v>
      </c>
      <c r="F11" s="2" t="s">
        <v>70</v>
      </c>
      <c r="G11" s="2" t="s">
        <v>73</v>
      </c>
    </row>
    <row r="12" spans="1:7" x14ac:dyDescent="0.35">
      <c r="A12" s="2">
        <v>646232</v>
      </c>
      <c r="B12" s="2" t="s">
        <v>38</v>
      </c>
      <c r="C12" s="2" t="s">
        <v>64</v>
      </c>
      <c r="D12" s="2" t="s">
        <v>3</v>
      </c>
      <c r="E12" s="2" t="s">
        <v>29</v>
      </c>
      <c r="F12" s="2" t="s">
        <v>70</v>
      </c>
      <c r="G12" s="2" t="s">
        <v>73</v>
      </c>
    </row>
    <row r="13" spans="1:7" x14ac:dyDescent="0.35">
      <c r="A13" s="2">
        <v>645947</v>
      </c>
      <c r="B13" s="2" t="s">
        <v>53</v>
      </c>
      <c r="C13" s="2" t="s">
        <v>44</v>
      </c>
      <c r="D13" s="2">
        <v>1229125147</v>
      </c>
      <c r="E13" s="2" t="s">
        <v>46</v>
      </c>
      <c r="F13" s="2" t="s">
        <v>70</v>
      </c>
      <c r="G13" s="2" t="s">
        <v>71</v>
      </c>
    </row>
    <row r="14" spans="1:7" x14ac:dyDescent="0.35">
      <c r="A14" s="2">
        <v>645553</v>
      </c>
      <c r="B14" s="2" t="s">
        <v>31</v>
      </c>
      <c r="C14" s="2" t="s">
        <v>28</v>
      </c>
      <c r="D14" s="2" t="s">
        <v>32</v>
      </c>
      <c r="E14" s="2" t="s">
        <v>29</v>
      </c>
      <c r="F14" s="2" t="s">
        <v>70</v>
      </c>
      <c r="G14" s="2" t="s">
        <v>73</v>
      </c>
    </row>
    <row r="15" spans="1:7" x14ac:dyDescent="0.35">
      <c r="A15" s="2">
        <v>645222</v>
      </c>
      <c r="B15" s="2" t="s">
        <v>25</v>
      </c>
      <c r="C15" s="2" t="s">
        <v>18</v>
      </c>
      <c r="D15" s="2">
        <v>1228161831</v>
      </c>
      <c r="E15" s="2" t="s">
        <v>66</v>
      </c>
      <c r="F15" s="2" t="s">
        <v>72</v>
      </c>
      <c r="G15" s="2" t="s">
        <v>73</v>
      </c>
    </row>
    <row r="16" spans="1:7" x14ac:dyDescent="0.35">
      <c r="A16" s="2">
        <v>644918</v>
      </c>
      <c r="B16" s="2" t="s">
        <v>67</v>
      </c>
      <c r="C16" s="2" t="s">
        <v>57</v>
      </c>
      <c r="D16" s="2">
        <v>1009235255</v>
      </c>
      <c r="E16" s="2" t="s">
        <v>66</v>
      </c>
      <c r="F16" s="2" t="s">
        <v>70</v>
      </c>
      <c r="G16" s="2" t="s">
        <v>73</v>
      </c>
    </row>
    <row r="17" spans="1:7" x14ac:dyDescent="0.35">
      <c r="A17" s="2">
        <v>644851</v>
      </c>
      <c r="B17" s="2" t="s">
        <v>7</v>
      </c>
      <c r="C17" s="2" t="s">
        <v>26</v>
      </c>
      <c r="D17" s="2" t="s">
        <v>50</v>
      </c>
      <c r="E17" s="2" t="s">
        <v>43</v>
      </c>
      <c r="F17" s="2" t="s">
        <v>72</v>
      </c>
      <c r="G17" s="2" t="s">
        <v>73</v>
      </c>
    </row>
    <row r="18" spans="1:7" x14ac:dyDescent="0.35">
      <c r="A18" s="2">
        <v>644843</v>
      </c>
      <c r="B18" s="2" t="s">
        <v>65</v>
      </c>
      <c r="C18" s="2" t="s">
        <v>4</v>
      </c>
      <c r="D18" s="2" t="s">
        <v>6</v>
      </c>
      <c r="E18" s="2" t="s">
        <v>43</v>
      </c>
      <c r="F18" s="2" t="s">
        <v>70</v>
      </c>
      <c r="G18" s="2" t="s">
        <v>73</v>
      </c>
    </row>
    <row r="19" spans="1:7" x14ac:dyDescent="0.35">
      <c r="A19" s="2">
        <v>644816</v>
      </c>
      <c r="B19" s="2" t="s">
        <v>36</v>
      </c>
      <c r="C19" s="2" t="s">
        <v>52</v>
      </c>
      <c r="D19" s="2" t="s">
        <v>42</v>
      </c>
      <c r="E19" s="2" t="s">
        <v>46</v>
      </c>
      <c r="F19" s="2" t="s">
        <v>70</v>
      </c>
      <c r="G19" s="2" t="s">
        <v>73</v>
      </c>
    </row>
    <row r="20" spans="1:7" x14ac:dyDescent="0.35">
      <c r="A20" s="2">
        <v>644807</v>
      </c>
      <c r="B20" s="2" t="s">
        <v>58</v>
      </c>
      <c r="C20" s="2" t="s">
        <v>14</v>
      </c>
      <c r="D20" s="2">
        <v>1028776563</v>
      </c>
      <c r="E20" s="2" t="s">
        <v>66</v>
      </c>
      <c r="F20" s="2" t="s">
        <v>70</v>
      </c>
      <c r="G20" s="2" t="s">
        <v>73</v>
      </c>
    </row>
    <row r="21" spans="1:7" x14ac:dyDescent="0.35">
      <c r="A21" s="2">
        <v>643720</v>
      </c>
      <c r="B21" s="2" t="s">
        <v>39</v>
      </c>
      <c r="C21" s="2" t="s">
        <v>60</v>
      </c>
      <c r="D21" s="2" t="s">
        <v>22</v>
      </c>
      <c r="E21" s="2" t="s">
        <v>46</v>
      </c>
      <c r="F21" s="2" t="s">
        <v>70</v>
      </c>
      <c r="G21" s="2" t="s">
        <v>71</v>
      </c>
    </row>
    <row r="22" spans="1:7" x14ac:dyDescent="0.35">
      <c r="A22" s="2">
        <v>643644</v>
      </c>
      <c r="B22" s="2" t="s">
        <v>16</v>
      </c>
      <c r="C22" s="2" t="s">
        <v>10</v>
      </c>
      <c r="D22" s="2" t="s">
        <v>49</v>
      </c>
      <c r="E22" s="2" t="s">
        <v>46</v>
      </c>
      <c r="F22" s="2" t="s">
        <v>70</v>
      </c>
      <c r="G22" s="2" t="s">
        <v>73</v>
      </c>
    </row>
    <row r="23" spans="1:7" x14ac:dyDescent="0.35">
      <c r="A23" s="2">
        <v>642022</v>
      </c>
      <c r="B23" s="2" t="s">
        <v>51</v>
      </c>
      <c r="C23" s="2" t="s">
        <v>23</v>
      </c>
      <c r="D23" s="2">
        <v>1013059903</v>
      </c>
      <c r="E23" s="2" t="s">
        <v>66</v>
      </c>
      <c r="F23" s="2" t="s">
        <v>70</v>
      </c>
      <c r="G23" s="2" t="s">
        <v>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7"/>
  <sheetViews>
    <sheetView showGridLines="0" tabSelected="1" zoomScaleNormal="100" workbookViewId="0">
      <selection activeCell="D1" sqref="D1"/>
    </sheetView>
  </sheetViews>
  <sheetFormatPr defaultRowHeight="14.5" x14ac:dyDescent="0.35"/>
  <cols>
    <col min="1" max="1" width="21.90625" style="3" bestFit="1" customWidth="1"/>
    <col min="2" max="2" width="22.81640625" style="2" bestFit="1" customWidth="1"/>
  </cols>
  <sheetData>
    <row r="1" spans="1:6" x14ac:dyDescent="0.35">
      <c r="A1" s="4" t="s">
        <v>33</v>
      </c>
      <c r="B1" s="6" t="s">
        <v>43</v>
      </c>
      <c r="D1" s="9">
        <v>0</v>
      </c>
      <c r="E1" s="9">
        <f>D1+1</f>
        <v>1</v>
      </c>
      <c r="F1" s="9">
        <f>MAX('Sales Owner Filter'!A:A)</f>
        <v>4</v>
      </c>
    </row>
    <row r="2" spans="1:6" x14ac:dyDescent="0.35">
      <c r="A2" s="7">
        <v>0</v>
      </c>
      <c r="B2" s="8" t="str">
        <f>VLOOKUP(B1,Table1[#All],2,0)</f>
        <v>+201142865322</v>
      </c>
      <c r="D2" s="9" t="e">
        <f>VLOOKUP(D1,'Sales Owner Filter'!A:B,2,0)</f>
        <v>#N/A</v>
      </c>
      <c r="E2" s="9"/>
      <c r="F2" s="9"/>
    </row>
    <row r="3" spans="1:6" x14ac:dyDescent="0.35">
      <c r="A3" s="4" t="s">
        <v>74</v>
      </c>
      <c r="B3" s="2" t="s">
        <v>76</v>
      </c>
    </row>
    <row r="4" spans="1:6" x14ac:dyDescent="0.35">
      <c r="A4" s="3" t="s">
        <v>70</v>
      </c>
      <c r="B4" s="5">
        <v>1</v>
      </c>
    </row>
    <row r="5" spans="1:6" x14ac:dyDescent="0.35">
      <c r="A5" s="3" t="s">
        <v>4</v>
      </c>
      <c r="B5" s="5">
        <v>1</v>
      </c>
    </row>
    <row r="6" spans="1:6" x14ac:dyDescent="0.35">
      <c r="A6" s="3" t="s">
        <v>72</v>
      </c>
      <c r="B6" s="5">
        <v>6</v>
      </c>
    </row>
    <row r="7" spans="1:6" x14ac:dyDescent="0.35">
      <c r="A7" s="3" t="s">
        <v>8</v>
      </c>
      <c r="B7" s="5">
        <v>1</v>
      </c>
    </row>
    <row r="8" spans="1:6" x14ac:dyDescent="0.35">
      <c r="A8" s="3" t="s">
        <v>48</v>
      </c>
      <c r="B8" s="5">
        <v>1</v>
      </c>
    </row>
    <row r="9" spans="1:6" x14ac:dyDescent="0.35">
      <c r="A9" s="3" t="s">
        <v>9</v>
      </c>
      <c r="B9" s="5">
        <v>1</v>
      </c>
    </row>
    <row r="10" spans="1:6" x14ac:dyDescent="0.35">
      <c r="A10" s="3" t="s">
        <v>37</v>
      </c>
      <c r="B10" s="5">
        <v>1</v>
      </c>
    </row>
    <row r="11" spans="1:6" x14ac:dyDescent="0.35">
      <c r="A11" s="3" t="s">
        <v>27</v>
      </c>
      <c r="B11" s="5">
        <v>1</v>
      </c>
    </row>
    <row r="12" spans="1:6" x14ac:dyDescent="0.35">
      <c r="A12" s="3" t="s">
        <v>26</v>
      </c>
      <c r="B12" s="5">
        <v>1</v>
      </c>
    </row>
    <row r="13" spans="1:6" x14ac:dyDescent="0.35">
      <c r="A13" s="3" t="s">
        <v>75</v>
      </c>
      <c r="B13" s="5">
        <v>7</v>
      </c>
    </row>
    <row r="14" spans="1:6" x14ac:dyDescent="0.35">
      <c r="A14"/>
      <c r="B14"/>
    </row>
    <row r="15" spans="1:6" x14ac:dyDescent="0.35">
      <c r="A15"/>
      <c r="B15"/>
    </row>
    <row r="16" spans="1:6" x14ac:dyDescent="0.35">
      <c r="A16"/>
      <c r="B16"/>
    </row>
    <row r="17" spans="1:2" x14ac:dyDescent="0.35">
      <c r="A17"/>
      <c r="B17"/>
    </row>
    <row r="18" spans="1:2" x14ac:dyDescent="0.35">
      <c r="A18"/>
      <c r="B18"/>
    </row>
    <row r="19" spans="1:2" x14ac:dyDescent="0.35">
      <c r="A19"/>
      <c r="B19"/>
    </row>
    <row r="20" spans="1:2" x14ac:dyDescent="0.35">
      <c r="A20"/>
      <c r="B20"/>
    </row>
    <row r="21" spans="1:2" x14ac:dyDescent="0.35">
      <c r="A21"/>
      <c r="B21"/>
    </row>
    <row r="22" spans="1:2" x14ac:dyDescent="0.35">
      <c r="A22"/>
      <c r="B22"/>
    </row>
    <row r="23" spans="1:2" x14ac:dyDescent="0.35">
      <c r="A23"/>
      <c r="B23"/>
    </row>
    <row r="24" spans="1:2" x14ac:dyDescent="0.35">
      <c r="A24"/>
      <c r="B24"/>
    </row>
    <row r="25" spans="1:2" x14ac:dyDescent="0.35">
      <c r="A25"/>
      <c r="B25"/>
    </row>
    <row r="26" spans="1:2" x14ac:dyDescent="0.35">
      <c r="A26"/>
      <c r="B26"/>
    </row>
    <row r="27" spans="1:2" x14ac:dyDescent="0.35">
      <c r="A27"/>
      <c r="B27"/>
    </row>
    <row r="28" spans="1:2" x14ac:dyDescent="0.35">
      <c r="A28"/>
      <c r="B28"/>
    </row>
    <row r="29" spans="1:2" x14ac:dyDescent="0.35">
      <c r="A29"/>
      <c r="B29"/>
    </row>
    <row r="30" spans="1:2" x14ac:dyDescent="0.35">
      <c r="A30"/>
      <c r="B30"/>
    </row>
    <row r="31" spans="1:2" x14ac:dyDescent="0.35">
      <c r="A31"/>
      <c r="B31"/>
    </row>
    <row r="32" spans="1:2" x14ac:dyDescent="0.35">
      <c r="A32"/>
      <c r="B32"/>
    </row>
    <row r="33" spans="1:2" x14ac:dyDescent="0.35">
      <c r="A33"/>
      <c r="B33"/>
    </row>
    <row r="34" spans="1:2" x14ac:dyDescent="0.35">
      <c r="A34"/>
      <c r="B34"/>
    </row>
    <row r="35" spans="1:2" x14ac:dyDescent="0.35">
      <c r="A35"/>
      <c r="B35"/>
    </row>
    <row r="36" spans="1:2" x14ac:dyDescent="0.35">
      <c r="A36"/>
      <c r="B36"/>
    </row>
    <row r="37" spans="1:2" x14ac:dyDescent="0.35">
      <c r="A37"/>
      <c r="B37"/>
    </row>
    <row r="38" spans="1:2" x14ac:dyDescent="0.35">
      <c r="A38"/>
    </row>
    <row r="39" spans="1:2" x14ac:dyDescent="0.35">
      <c r="A39"/>
    </row>
    <row r="40" spans="1:2" x14ac:dyDescent="0.35">
      <c r="A40"/>
    </row>
    <row r="41" spans="1:2" x14ac:dyDescent="0.35">
      <c r="A41"/>
    </row>
    <row r="42" spans="1:2" x14ac:dyDescent="0.35">
      <c r="A42"/>
    </row>
    <row r="43" spans="1:2" x14ac:dyDescent="0.35">
      <c r="A43"/>
    </row>
    <row r="44" spans="1:2" x14ac:dyDescent="0.35">
      <c r="A44"/>
    </row>
    <row r="45" spans="1:2" x14ac:dyDescent="0.35">
      <c r="A45"/>
    </row>
    <row r="46" spans="1:2" x14ac:dyDescent="0.35">
      <c r="A46"/>
    </row>
    <row r="47" spans="1:2" x14ac:dyDescent="0.35">
      <c r="A47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4">
                <anchor moveWithCells="1" sizeWithCells="1">
                  <from>
                    <xdr:col>2</xdr:col>
                    <xdr:colOff>577850</xdr:colOff>
                    <xdr:row>0</xdr:row>
                    <xdr:rowOff>0</xdr:rowOff>
                  </from>
                  <to>
                    <xdr:col>5</xdr:col>
                    <xdr:colOff>336550</xdr:colOff>
                    <xdr:row>2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C63"/>
  <sheetViews>
    <sheetView topLeftCell="B1" workbookViewId="0">
      <selection activeCell="B5" sqref="B5:B6"/>
    </sheetView>
  </sheetViews>
  <sheetFormatPr defaultRowHeight="14.5" x14ac:dyDescent="0.35"/>
  <cols>
    <col min="1" max="1" width="0" hidden="1" customWidth="1"/>
    <col min="2" max="2" width="18" bestFit="1" customWidth="1"/>
    <col min="3" max="3" width="27.7265625" bestFit="1" customWidth="1"/>
  </cols>
  <sheetData>
    <row r="1" spans="1:3" x14ac:dyDescent="0.35">
      <c r="B1" s="10" t="s">
        <v>74</v>
      </c>
      <c r="C1" t="s">
        <v>79</v>
      </c>
    </row>
    <row r="2" spans="1:3" hidden="1" x14ac:dyDescent="0.35">
      <c r="A2">
        <f>IF(OR(B2="",B2="(Blank)"),"",COUNTA($B$2:B2))</f>
        <v>1</v>
      </c>
      <c r="B2" s="11" t="s">
        <v>46</v>
      </c>
      <c r="C2" t="str">
        <f>IF(OR(B2="(Blank)",B2=""),"",IFERROR(IF(VLOOKUP(B2,Table1[[#All],[sales_owner__username]],1,0)=B2,""),"Need To add to Phone Numbers"))</f>
        <v/>
      </c>
    </row>
    <row r="3" spans="1:3" hidden="1" x14ac:dyDescent="0.35">
      <c r="A3" t="str">
        <f>IF(OR(B3="",B3="(Blank)"),"",COUNTIFS($B$2:B3,"&lt;&gt;(Blank)"))</f>
        <v/>
      </c>
      <c r="B3" s="12" t="s">
        <v>77</v>
      </c>
      <c r="C3" t="str">
        <f>IF(OR(B3="(Blank)",B3=""),"",IFERROR(IF(VLOOKUP(B3,Table1[[#All],[sales_owner__username]],1,0)=B3,""),"Need To add to Phone Numbers"))</f>
        <v/>
      </c>
    </row>
    <row r="4" spans="1:3" hidden="1" x14ac:dyDescent="0.35">
      <c r="A4">
        <f>IF(OR(B4="",B4="(Blank)"),"",COUNTIFS($B$2:B4,"&lt;&gt;(Blank)"))</f>
        <v>2</v>
      </c>
      <c r="B4" s="12" t="s">
        <v>66</v>
      </c>
      <c r="C4" t="str">
        <f>IF(OR(B4="(Blank)",B4=""),"",IFERROR(IF(VLOOKUP(B4,Table1[[#All],[sales_owner__username]],1,0)=B4,""),"Need To add to Phone Numbers"))</f>
        <v/>
      </c>
    </row>
    <row r="5" spans="1:3" x14ac:dyDescent="0.35">
      <c r="A5">
        <f>IF(OR(B5="",B5="(Blank)"),"",COUNTIFS($B$2:B5,"&lt;&gt;(Blank)"))</f>
        <v>3</v>
      </c>
      <c r="B5" s="12" t="s">
        <v>29</v>
      </c>
      <c r="C5" t="str">
        <f>IF(OR(B5="(Blank)",B5=""),"",IFERROR(IF(VLOOKUP(B5,Table1[[#All],[sales_owner__username]],1,0)=B5,""),"Need To add to Phone Numbers"))</f>
        <v/>
      </c>
    </row>
    <row r="6" spans="1:3" x14ac:dyDescent="0.35">
      <c r="A6">
        <f>IF(OR(B6="",B6="(Blank)"),"",COUNTIFS($B$2:B6,"&lt;&gt;(Blank)"))</f>
        <v>4</v>
      </c>
      <c r="B6" s="13" t="s">
        <v>43</v>
      </c>
      <c r="C6" t="str">
        <f>IF(OR(B6="(Blank)",B6=""),"",IFERROR(IF(VLOOKUP(B6,Table1[[#All],[sales_owner__username]],1,0)=B6,""),"Need To add to Phone Numbers"))</f>
        <v/>
      </c>
    </row>
    <row r="7" spans="1:3" hidden="1" x14ac:dyDescent="0.35">
      <c r="A7" t="str">
        <f>IF(OR(B7="",B7="(Blank)"),"",COUNTIFS($B$2:B7,"&lt;&gt;(Blank)"))</f>
        <v/>
      </c>
      <c r="C7" t="str">
        <f>IF(OR(B7="(Blank)",B7=""),"",IFERROR(IF(VLOOKUP(B7,Table1[[#All],[sales_owner__username]],1,0)=B7,""),"Need To add to Phone Numbers"))</f>
        <v/>
      </c>
    </row>
    <row r="8" spans="1:3" hidden="1" x14ac:dyDescent="0.35">
      <c r="A8" t="str">
        <f>IF(OR(B8="",B8="(Blank)"),"",COUNTIFS($B$2:B8,"&lt;&gt;(Blank)"))</f>
        <v/>
      </c>
      <c r="C8" t="str">
        <f>IF(OR(B8="(Blank)",B8=""),"",IFERROR(IF(VLOOKUP(B8,Table1[[#All],[sales_owner__username]],1,0)=B8,""),"Need To add to Phone Numbers"))</f>
        <v/>
      </c>
    </row>
    <row r="9" spans="1:3" hidden="1" x14ac:dyDescent="0.35">
      <c r="A9" t="str">
        <f>IF(OR(B9="",B9="(Blank)"),"",COUNTIFS($B$2:B9,"&lt;&gt;(Blank)"))</f>
        <v/>
      </c>
      <c r="C9" t="str">
        <f>IF(OR(B9="(Blank)",B9=""),"",IFERROR(IF(VLOOKUP(B9,Table1[[#All],[sales_owner__username]],1,0)=B9,""),"Need To add to Phone Numbers"))</f>
        <v/>
      </c>
    </row>
    <row r="10" spans="1:3" hidden="1" x14ac:dyDescent="0.35">
      <c r="A10" t="str">
        <f>IF(OR(B10="",B10="(Blank)"),"",COUNTIFS($B$2:B10,"&lt;&gt;(Blank)"))</f>
        <v/>
      </c>
      <c r="C10" t="str">
        <f>IF(OR(B10="(Blank)",B10=""),"",IFERROR(IF(VLOOKUP(B10,Table1[[#All],[sales_owner__username]],1,0)=B10,""),"Need To add to Phone Numbers"))</f>
        <v/>
      </c>
    </row>
    <row r="11" spans="1:3" hidden="1" x14ac:dyDescent="0.35">
      <c r="A11" t="str">
        <f>IF(OR(B11="",B11="(Blank)"),"",COUNTIFS($B$2:B11,"&lt;&gt;(Blank)"))</f>
        <v/>
      </c>
      <c r="C11" t="str">
        <f>IF(OR(B11="(Blank)",B11=""),"",IFERROR(IF(VLOOKUP(B11,Table1[[#All],[sales_owner__username]],1,0)=B11,""),"Need To add to Phone Numbers"))</f>
        <v/>
      </c>
    </row>
    <row r="12" spans="1:3" hidden="1" x14ac:dyDescent="0.35">
      <c r="A12" t="str">
        <f>IF(OR(B12="",B12="(Blank)"),"",COUNTIFS($B$2:B12,"&lt;&gt;(Blank)"))</f>
        <v/>
      </c>
      <c r="C12" t="str">
        <f>IF(OR(B12="(Blank)",B12=""),"",IFERROR(IF(VLOOKUP(B12,Table1[[#All],[sales_owner__username]],1,0)=B12,""),"Need To add to Phone Numbers"))</f>
        <v/>
      </c>
    </row>
    <row r="13" spans="1:3" hidden="1" x14ac:dyDescent="0.35">
      <c r="A13" t="str">
        <f>IF(OR(B13="",B13="(Blank)"),"",COUNTIFS($B$2:B13,"&lt;&gt;(Blank)"))</f>
        <v/>
      </c>
      <c r="C13" t="str">
        <f>IF(OR(B13="(Blank)",B13=""),"",IFERROR(IF(VLOOKUP(B13,Table1[[#All],[sales_owner__username]],1,0)=B13,""),"Need To add to Phone Numbers"))</f>
        <v/>
      </c>
    </row>
    <row r="14" spans="1:3" hidden="1" x14ac:dyDescent="0.35">
      <c r="A14" t="str">
        <f>IF(OR(B14="",B14="(Blank)"),"",COUNTIFS($B$2:B14,"&lt;&gt;(Blank)"))</f>
        <v/>
      </c>
      <c r="C14" t="str">
        <f>IF(OR(B14="(Blank)",B14=""),"",IFERROR(IF(VLOOKUP(B14,Table1[[#All],[sales_owner__username]],1,0)=B14,""),"Need To add to Phone Numbers"))</f>
        <v/>
      </c>
    </row>
    <row r="15" spans="1:3" hidden="1" x14ac:dyDescent="0.35">
      <c r="A15" t="str">
        <f>IF(OR(B15="",B15="(Blank)"),"",COUNTIFS($B$2:B15,"&lt;&gt;(Blank)"))</f>
        <v/>
      </c>
      <c r="C15" t="str">
        <f>IF(OR(B15="(Blank)",B15=""),"",IFERROR(IF(VLOOKUP(B15,Table1[[#All],[sales_owner__username]],1,0)=B15,""),"Need To add to Phone Numbers"))</f>
        <v/>
      </c>
    </row>
    <row r="16" spans="1:3" hidden="1" x14ac:dyDescent="0.35">
      <c r="A16" t="str">
        <f>IF(OR(B16="",B16="(Blank)"),"",COUNTIFS($B$2:B16,"&lt;&gt;(Blank)"))</f>
        <v/>
      </c>
      <c r="C16" t="str">
        <f>IF(OR(B16="(Blank)",B16=""),"",IFERROR(IF(VLOOKUP(B16,Table1[[#All],[sales_owner__username]],1,0)=B16,""),"Need To add to Phone Numbers"))</f>
        <v/>
      </c>
    </row>
    <row r="17" spans="1:3" hidden="1" x14ac:dyDescent="0.35">
      <c r="A17" t="str">
        <f>IF(OR(B17="",B17="(Blank)"),"",COUNTIFS($B$2:B17,"&lt;&gt;(Blank)"))</f>
        <v/>
      </c>
      <c r="C17" t="str">
        <f>IF(OR(B17="(Blank)",B17=""),"",IFERROR(IF(VLOOKUP(B17,Table1[[#All],[sales_owner__username]],1,0)=B17,""),"Need To add to Phone Numbers"))</f>
        <v/>
      </c>
    </row>
    <row r="18" spans="1:3" hidden="1" x14ac:dyDescent="0.35">
      <c r="A18" t="str">
        <f>IF(OR(B18="",B18="(Blank)"),"",COUNTIFS($B$2:B18,"&lt;&gt;(Blank)"))</f>
        <v/>
      </c>
      <c r="C18" t="str">
        <f>IF(OR(B18="(Blank)",B18=""),"",IFERROR(IF(VLOOKUP(B18,Table1[[#All],[sales_owner__username]],1,0)=B18,""),"Need To add to Phone Numbers"))</f>
        <v/>
      </c>
    </row>
    <row r="19" spans="1:3" hidden="1" x14ac:dyDescent="0.35">
      <c r="A19" t="str">
        <f>IF(OR(B19="",B19="(Blank)"),"",COUNTIFS($B$2:B19,"&lt;&gt;(Blank)"))</f>
        <v/>
      </c>
      <c r="C19" t="str">
        <f>IF(OR(B19="(Blank)",B19=""),"",IFERROR(IF(VLOOKUP(B19,Table1[[#All],[sales_owner__username]],1,0)=B19,""),"Need To add to Phone Numbers"))</f>
        <v/>
      </c>
    </row>
    <row r="20" spans="1:3" hidden="1" x14ac:dyDescent="0.35">
      <c r="A20" t="str">
        <f>IF(OR(B20="",B20="(Blank)"),"",COUNTIFS($B$2:B20,"&lt;&gt;(Blank)"))</f>
        <v/>
      </c>
      <c r="C20" t="str">
        <f>IF(OR(B20="(Blank)",B20=""),"",IFERROR(IF(VLOOKUP(B20,Table1[[#All],[sales_owner__username]],1,0)=B20,""),"Need To add to Phone Numbers"))</f>
        <v/>
      </c>
    </row>
    <row r="21" spans="1:3" hidden="1" x14ac:dyDescent="0.35">
      <c r="A21" t="str">
        <f>IF(OR(B21="",B21="(Blank)"),"",COUNTIFS($B$2:B21,"&lt;&gt;(Blank)"))</f>
        <v/>
      </c>
      <c r="C21" t="str">
        <f>IF(OR(B21="(Blank)",B21=""),"",IFERROR(IF(VLOOKUP(B21,Table1[[#All],[sales_owner__username]],1,0)=B21,""),"Need To add to Phone Numbers"))</f>
        <v/>
      </c>
    </row>
    <row r="22" spans="1:3" hidden="1" x14ac:dyDescent="0.35">
      <c r="A22" t="str">
        <f>IF(OR(B22="",B22="(Blank)"),"",COUNTIFS($B$2:B22,"&lt;&gt;(Blank)"))</f>
        <v/>
      </c>
      <c r="C22" t="str">
        <f>IF(OR(B22="(Blank)",B22=""),"",IFERROR(IF(VLOOKUP(B22,Table1[[#All],[sales_owner__username]],1,0)=B22,""),"Need To add to Phone Numbers"))</f>
        <v/>
      </c>
    </row>
    <row r="23" spans="1:3" hidden="1" x14ac:dyDescent="0.35">
      <c r="A23" t="str">
        <f>IF(OR(B23="",B23="(Blank)"),"",COUNTIFS($B$2:B23,"&lt;&gt;(Blank)"))</f>
        <v/>
      </c>
      <c r="C23" t="str">
        <f>IF(OR(B23="(Blank)",B23=""),"",IFERROR(IF(VLOOKUP(B23,Table1[[#All],[sales_owner__username]],1,0)=B23,""),"Need To add to Phone Numbers"))</f>
        <v/>
      </c>
    </row>
    <row r="24" spans="1:3" hidden="1" x14ac:dyDescent="0.35">
      <c r="A24" t="str">
        <f>IF(OR(B24="",B24="(Blank)"),"",COUNTIFS($B$2:B24,"&lt;&gt;(Blank)"))</f>
        <v/>
      </c>
      <c r="C24" t="str">
        <f>IF(OR(B24="(Blank)",B24=""),"",IFERROR(IF(VLOOKUP(B24,Table1[[#All],[sales_owner__username]],1,0)=B24,""),"Need To add to Phone Numbers"))</f>
        <v/>
      </c>
    </row>
    <row r="25" spans="1:3" hidden="1" x14ac:dyDescent="0.35">
      <c r="A25" t="str">
        <f>IF(OR(B25="",B25="(Blank)"),"",COUNTIFS($B$2:B25,"&lt;&gt;(Blank)"))</f>
        <v/>
      </c>
      <c r="C25" t="str">
        <f>IF(OR(B25="(Blank)",B25=""),"",IFERROR(IF(VLOOKUP(B25,Table1[[#All],[sales_owner__username]],1,0)=B25,""),"Need To add to Phone Numbers"))</f>
        <v/>
      </c>
    </row>
    <row r="26" spans="1:3" hidden="1" x14ac:dyDescent="0.35">
      <c r="A26" t="str">
        <f>IF(OR(B26="",B26="(Blank)"),"",COUNTIFS($B$2:B26,"&lt;&gt;(Blank)"))</f>
        <v/>
      </c>
      <c r="C26" t="str">
        <f>IF(OR(B26="(Blank)",B26=""),"",IFERROR(IF(VLOOKUP(B26,Table1[[#All],[sales_owner__username]],1,0)=B26,""),"Need To add to Phone Numbers"))</f>
        <v/>
      </c>
    </row>
    <row r="27" spans="1:3" hidden="1" x14ac:dyDescent="0.35">
      <c r="A27" t="str">
        <f>IF(OR(B27="",B27="(Blank)"),"",COUNTIFS($B$2:B27,"&lt;&gt;(Blank)"))</f>
        <v/>
      </c>
      <c r="C27" t="str">
        <f>IF(OR(B27="(Blank)",B27=""),"",IFERROR(IF(VLOOKUP(B27,Table1[[#All],[sales_owner__username]],1,0)=B27,""),"Need To add to Phone Numbers"))</f>
        <v/>
      </c>
    </row>
    <row r="28" spans="1:3" hidden="1" x14ac:dyDescent="0.35">
      <c r="A28" t="str">
        <f>IF(OR(B28="",B28="(Blank)"),"",COUNTIFS($B$2:B28,"&lt;&gt;(Blank)"))</f>
        <v/>
      </c>
      <c r="C28" t="str">
        <f>IF(OR(B28="(Blank)",B28=""),"",IFERROR(IF(VLOOKUP(B28,Table1[[#All],[sales_owner__username]],1,0)=B28,""),"Need To add to Phone Numbers"))</f>
        <v/>
      </c>
    </row>
    <row r="29" spans="1:3" hidden="1" x14ac:dyDescent="0.35">
      <c r="A29" t="str">
        <f>IF(OR(B29="",B29="(Blank)"),"",COUNTIFS($B$2:B29,"&lt;&gt;(Blank)"))</f>
        <v/>
      </c>
      <c r="C29" t="str">
        <f>IF(OR(B29="(Blank)",B29=""),"",IFERROR(IF(VLOOKUP(B29,Table1[[#All],[sales_owner__username]],1,0)=B29,""),"Need To add to Phone Numbers"))</f>
        <v/>
      </c>
    </row>
    <row r="30" spans="1:3" hidden="1" x14ac:dyDescent="0.35">
      <c r="A30" t="str">
        <f>IF(OR(B30="",B30="(Blank)"),"",COUNTIFS($B$2:B30,"&lt;&gt;(Blank)"))</f>
        <v/>
      </c>
      <c r="C30" t="str">
        <f>IF(OR(B30="(Blank)",B30=""),"",IFERROR(IF(VLOOKUP(B30,Table1[[#All],[sales_owner__username]],1,0)=B30,""),"Need To add to Phone Numbers"))</f>
        <v/>
      </c>
    </row>
    <row r="31" spans="1:3" hidden="1" x14ac:dyDescent="0.35">
      <c r="A31" t="str">
        <f>IF(OR(B31="",B31="(Blank)"),"",COUNTIFS($B$2:B31,"&lt;&gt;(Blank)"))</f>
        <v/>
      </c>
      <c r="C31" t="str">
        <f>IF(OR(B31="(Blank)",B31=""),"",IFERROR(IF(VLOOKUP(B31,Table1[[#All],[sales_owner__username]],1,0)=B31,""),"Need To add to Phone Numbers"))</f>
        <v/>
      </c>
    </row>
    <row r="32" spans="1:3" hidden="1" x14ac:dyDescent="0.35">
      <c r="A32" t="str">
        <f>IF(OR(B32="",B32="(Blank)"),"",COUNTIFS($B$2:B32,"&lt;&gt;(Blank)"))</f>
        <v/>
      </c>
      <c r="C32" t="str">
        <f>IF(OR(B32="(Blank)",B32=""),"",IFERROR(IF(VLOOKUP(B32,Table1[[#All],[sales_owner__username]],1,0)=B32,""),"Need To add to Phone Numbers"))</f>
        <v/>
      </c>
    </row>
    <row r="33" spans="1:3" hidden="1" x14ac:dyDescent="0.35">
      <c r="A33" t="str">
        <f>IF(OR(B33="",B33="(Blank)"),"",COUNTIFS($B$2:B33,"&lt;&gt;(Blank)"))</f>
        <v/>
      </c>
      <c r="C33" t="str">
        <f>IF(OR(B33="(Blank)",B33=""),"",IFERROR(IF(VLOOKUP(B33,Table1[[#All],[sales_owner__username]],1,0)=B33,""),"Need To add to Phone Numbers"))</f>
        <v/>
      </c>
    </row>
    <row r="34" spans="1:3" hidden="1" x14ac:dyDescent="0.35">
      <c r="A34" t="str">
        <f>IF(OR(B34="",B34="(Blank)"),"",COUNTIFS($B$2:B34,"&lt;&gt;(Blank)"))</f>
        <v/>
      </c>
      <c r="C34" t="str">
        <f>IF(OR(B34="(Blank)",B34=""),"",IFERROR(IF(VLOOKUP(B34,Table1[[#All],[sales_owner__username]],1,0)=B34,""),"Need To add to Phone Numbers"))</f>
        <v/>
      </c>
    </row>
    <row r="35" spans="1:3" hidden="1" x14ac:dyDescent="0.35">
      <c r="A35" t="str">
        <f>IF(OR(B35="",B35="(Blank)"),"",COUNTIFS($B$2:B35,"&lt;&gt;(Blank)"))</f>
        <v/>
      </c>
      <c r="C35" t="str">
        <f>IF(OR(B35="(Blank)",B35=""),"",IFERROR(IF(VLOOKUP(B35,Table1[[#All],[sales_owner__username]],1,0)=B35,""),"Need To add to Phone Numbers"))</f>
        <v/>
      </c>
    </row>
    <row r="36" spans="1:3" hidden="1" x14ac:dyDescent="0.35">
      <c r="A36" t="str">
        <f>IF(OR(B36="",B36="(Blank)"),"",COUNTIFS($B$2:B36,"&lt;&gt;(Blank)"))</f>
        <v/>
      </c>
      <c r="C36" t="str">
        <f>IF(OR(B36="(Blank)",B36=""),"",IFERROR(IF(VLOOKUP(B36,Table1[[#All],[sales_owner__username]],1,0)=B36,""),"Need To add to Phone Numbers"))</f>
        <v/>
      </c>
    </row>
    <row r="37" spans="1:3" hidden="1" x14ac:dyDescent="0.35">
      <c r="A37" t="str">
        <f>IF(OR(B37="",B37="(Blank)"),"",COUNTIFS($B$2:B37,"&lt;&gt;(Blank)"))</f>
        <v/>
      </c>
      <c r="C37" t="str">
        <f>IF(OR(B37="(Blank)",B37=""),"",IFERROR(IF(VLOOKUP(B37,Table1[[#All],[sales_owner__username]],1,0)=B37,""),"Need To add to Phone Numbers"))</f>
        <v/>
      </c>
    </row>
    <row r="38" spans="1:3" hidden="1" x14ac:dyDescent="0.35">
      <c r="A38" t="str">
        <f>IF(OR(B38="",B38="(Blank)"),"",COUNTIFS($B$2:B38,"&lt;&gt;(Blank)"))</f>
        <v/>
      </c>
      <c r="C38" t="str">
        <f>IF(OR(B38="(Blank)",B38=""),"",IFERROR(IF(VLOOKUP(B38,Table1[[#All],[sales_owner__username]],1,0)=B38,""),"Need To add to Phone Numbers"))</f>
        <v/>
      </c>
    </row>
    <row r="39" spans="1:3" hidden="1" x14ac:dyDescent="0.35">
      <c r="A39" t="str">
        <f>IF(OR(B39="",B39="(Blank)"),"",COUNTIFS($B$2:B39,"&lt;&gt;(Blank)"))</f>
        <v/>
      </c>
      <c r="C39" t="str">
        <f>IF(OR(B39="(Blank)",B39=""),"",IFERROR(IF(VLOOKUP(B39,Table1[[#All],[sales_owner__username]],1,0)=B39,""),"Need To add to Phone Numbers"))</f>
        <v/>
      </c>
    </row>
    <row r="40" spans="1:3" hidden="1" x14ac:dyDescent="0.35">
      <c r="A40" t="str">
        <f>IF(OR(B40="",B40="(Blank)"),"",COUNTIFS($B$2:B40,"&lt;&gt;(Blank)"))</f>
        <v/>
      </c>
      <c r="C40" t="str">
        <f>IF(OR(B40="(Blank)",B40=""),"",IFERROR(IF(VLOOKUP(B40,Table1[[#All],[sales_owner__username]],1,0)=B40,""),"Need To add to Phone Numbers"))</f>
        <v/>
      </c>
    </row>
    <row r="41" spans="1:3" hidden="1" x14ac:dyDescent="0.35">
      <c r="A41" t="str">
        <f>IF(OR(B41="",B41="(Blank)"),"",COUNTIFS($B$2:B41,"&lt;&gt;(Blank)"))</f>
        <v/>
      </c>
      <c r="C41" t="str">
        <f>IF(OR(B41="(Blank)",B41=""),"",IFERROR(IF(VLOOKUP(B41,Table1[[#All],[sales_owner__username]],1,0)=B41,""),"Need To add to Phone Numbers"))</f>
        <v/>
      </c>
    </row>
    <row r="42" spans="1:3" hidden="1" x14ac:dyDescent="0.35">
      <c r="A42" t="str">
        <f>IF(OR(B42="",B42="(Blank)"),"",COUNTIFS($B$2:B42,"&lt;&gt;(Blank)"))</f>
        <v/>
      </c>
      <c r="C42" t="str">
        <f>IF(OR(B42="(Blank)",B42=""),"",IFERROR(IF(VLOOKUP(B42,Table1[[#All],[sales_owner__username]],1,0)=B42,""),"Need To add to Phone Numbers"))</f>
        <v/>
      </c>
    </row>
    <row r="43" spans="1:3" hidden="1" x14ac:dyDescent="0.35">
      <c r="A43" t="str">
        <f>IF(OR(B43="",B43="(Blank)"),"",COUNTIFS($B$2:B43,"&lt;&gt;(Blank)"))</f>
        <v/>
      </c>
      <c r="C43" t="str">
        <f>IF(OR(B43="(Blank)",B43=""),"",IFERROR(IF(VLOOKUP(B43,Table1[[#All],[sales_owner__username]],1,0)=B43,""),"Need To add to Phone Numbers"))</f>
        <v/>
      </c>
    </row>
    <row r="44" spans="1:3" hidden="1" x14ac:dyDescent="0.35">
      <c r="A44" t="str">
        <f>IF(OR(B44="",B44="(Blank)"),"",COUNTIFS($B$2:B44,"&lt;&gt;(Blank)"))</f>
        <v/>
      </c>
      <c r="C44" t="str">
        <f>IF(OR(B44="(Blank)",B44=""),"",IFERROR(IF(VLOOKUP(B44,Table1[[#All],[sales_owner__username]],1,0)=B44,""),"Need To add to Phone Numbers"))</f>
        <v/>
      </c>
    </row>
    <row r="45" spans="1:3" hidden="1" x14ac:dyDescent="0.35">
      <c r="A45" t="str">
        <f>IF(OR(B45="",B45="(Blank)"),"",COUNTIFS($B$2:B45,"&lt;&gt;(Blank)"))</f>
        <v/>
      </c>
      <c r="C45" t="str">
        <f>IF(OR(B45="(Blank)",B45=""),"",IFERROR(IF(VLOOKUP(B45,Table1[[#All],[sales_owner__username]],1,0)=B45,""),"Need To add to Phone Numbers"))</f>
        <v/>
      </c>
    </row>
    <row r="46" spans="1:3" hidden="1" x14ac:dyDescent="0.35">
      <c r="A46" t="str">
        <f>IF(OR(B46="",B46="(Blank)"),"",COUNTIFS($B$2:B46,"&lt;&gt;(Blank)"))</f>
        <v/>
      </c>
      <c r="C46" t="str">
        <f>IF(OR(B46="(Blank)",B46=""),"",IFERROR(IF(VLOOKUP(B46,Table1[[#All],[sales_owner__username]],1,0)=B46,""),"Need To add to Phone Numbers"))</f>
        <v/>
      </c>
    </row>
    <row r="47" spans="1:3" hidden="1" x14ac:dyDescent="0.35">
      <c r="A47" t="str">
        <f>IF(OR(B47="",B47="(Blank)"),"",COUNTIFS($B$2:B47,"&lt;&gt;(Blank)"))</f>
        <v/>
      </c>
      <c r="C47" t="str">
        <f>IF(OR(B47="(Blank)",B47=""),"",IFERROR(IF(VLOOKUP(B47,Table1[[#All],[sales_owner__username]],1,0)=B47,""),"Need To add to Phone Numbers"))</f>
        <v/>
      </c>
    </row>
    <row r="48" spans="1:3" hidden="1" x14ac:dyDescent="0.35">
      <c r="A48" t="str">
        <f>IF(OR(B48="",B48="(Blank)"),"",COUNTIFS($B$2:B48,"&lt;&gt;(Blank)"))</f>
        <v/>
      </c>
      <c r="C48" t="str">
        <f>IF(OR(B48="(Blank)",B48=""),"",IFERROR(IF(VLOOKUP(B48,Table1[[#All],[sales_owner__username]],1,0)=B48,""),"Need To add to Phone Numbers"))</f>
        <v/>
      </c>
    </row>
    <row r="49" spans="1:3" hidden="1" x14ac:dyDescent="0.35">
      <c r="A49" t="str">
        <f>IF(OR(B49="",B49="(Blank)"),"",COUNTIFS($B$2:B49,"&lt;&gt;(Blank)"))</f>
        <v/>
      </c>
      <c r="C49" t="str">
        <f>IF(OR(B49="(Blank)",B49=""),"",IFERROR(IF(VLOOKUP(B49,Table1[[#All],[sales_owner__username]],1,0)=B49,""),"Need To add to Phone Numbers"))</f>
        <v/>
      </c>
    </row>
    <row r="50" spans="1:3" hidden="1" x14ac:dyDescent="0.35">
      <c r="A50" t="str">
        <f>IF(OR(B50="",B50="(Blank)"),"",COUNTIFS($B$2:B50,"&lt;&gt;(Blank)"))</f>
        <v/>
      </c>
      <c r="C50" t="str">
        <f>IF(OR(B50="(Blank)",B50=""),"",IFERROR(IF(VLOOKUP(B50,Table1[[#All],[sales_owner__username]],1,0)=B50,""),"Need To add to Phone Numbers"))</f>
        <v/>
      </c>
    </row>
    <row r="51" spans="1:3" hidden="1" x14ac:dyDescent="0.35">
      <c r="A51" t="str">
        <f>IF(OR(B51="",B51="(Blank)"),"",COUNTIFS($B$2:B51,"&lt;&gt;(Blank)"))</f>
        <v/>
      </c>
      <c r="C51" t="str">
        <f>IF(OR(B51="(Blank)",B51=""),"",IFERROR(IF(VLOOKUP(B51,Table1[[#All],[sales_owner__username]],1,0)=B51,""),"Need To add to Phone Numbers"))</f>
        <v/>
      </c>
    </row>
    <row r="52" spans="1:3" hidden="1" x14ac:dyDescent="0.35">
      <c r="A52" t="str">
        <f>IF(OR(B52="",B52="(Blank)"),"",COUNTIFS($B$2:B52,"&lt;&gt;(Blank)"))</f>
        <v/>
      </c>
      <c r="C52" t="str">
        <f>IF(OR(B52="(Blank)",B52=""),"",IFERROR(IF(VLOOKUP(B52,Table1[[#All],[sales_owner__username]],1,0)=B52,""),"Need To add to Phone Numbers"))</f>
        <v/>
      </c>
    </row>
    <row r="53" spans="1:3" hidden="1" x14ac:dyDescent="0.35">
      <c r="A53" t="str">
        <f>IF(OR(B53="",B53="(Blank)"),"",COUNTIFS($B$2:B53,"&lt;&gt;(Blank)"))</f>
        <v/>
      </c>
      <c r="C53" t="str">
        <f>IF(OR(B53="(Blank)",B53=""),"",IFERROR(IF(VLOOKUP(B53,Table1[[#All],[sales_owner__username]],1,0)=B53,""),"Need To add to Phone Numbers"))</f>
        <v/>
      </c>
    </row>
    <row r="54" spans="1:3" hidden="1" x14ac:dyDescent="0.35">
      <c r="A54" t="str">
        <f>IF(OR(B54="",B54="(Blank)"),"",COUNTIFS($B$2:B54,"&lt;&gt;(Blank)"))</f>
        <v/>
      </c>
      <c r="C54" t="str">
        <f>IF(OR(B54="(Blank)",B54=""),"",IFERROR(IF(VLOOKUP(B54,Table1[[#All],[sales_owner__username]],1,0)=B54,""),"Need To add to Phone Numbers"))</f>
        <v/>
      </c>
    </row>
    <row r="55" spans="1:3" hidden="1" x14ac:dyDescent="0.35">
      <c r="A55" t="str">
        <f>IF(OR(B55="",B55="(Blank)"),"",COUNTIFS($B$2:B55,"&lt;&gt;(Blank)"))</f>
        <v/>
      </c>
      <c r="C55" t="str">
        <f>IF(OR(B55="(Blank)",B55=""),"",IFERROR(IF(VLOOKUP(B55,Table1[[#All],[sales_owner__username]],1,0)=B55,""),"Need To add to Phone Numbers"))</f>
        <v/>
      </c>
    </row>
    <row r="56" spans="1:3" hidden="1" x14ac:dyDescent="0.35">
      <c r="A56" t="str">
        <f>IF(OR(B56="",B56="(Blank)"),"",COUNTIFS($B$2:B56,"&lt;&gt;(Blank)"))</f>
        <v/>
      </c>
      <c r="C56" t="str">
        <f>IF(OR(B56="(Blank)",B56=""),"",IFERROR(IF(VLOOKUP(B56,Table1[[#All],[sales_owner__username]],1,0)=B56,""),"Need To add to Phone Numbers"))</f>
        <v/>
      </c>
    </row>
    <row r="57" spans="1:3" hidden="1" x14ac:dyDescent="0.35">
      <c r="A57" t="str">
        <f>IF(OR(B57="",B57="(Blank)"),"",COUNTIFS($B$2:B57,"&lt;&gt;(Blank)"))</f>
        <v/>
      </c>
      <c r="C57" t="str">
        <f>IF(OR(B57="(Blank)",B57=""),"",IFERROR(IF(VLOOKUP(B57,Table1[[#All],[sales_owner__username]],1,0)=B57,""),"Need To add to Phone Numbers"))</f>
        <v/>
      </c>
    </row>
    <row r="58" spans="1:3" hidden="1" x14ac:dyDescent="0.35">
      <c r="A58" t="str">
        <f>IF(OR(B58="",B58="(Blank)"),"",COUNTIFS($B$2:B58,"&lt;&gt;(Blank)"))</f>
        <v/>
      </c>
      <c r="C58" t="str">
        <f>IF(OR(B58="(Blank)",B58=""),"",IFERROR(IF(VLOOKUP(B58,Table1[[#All],[sales_owner__username]],1,0)=B58,""),"Need To add to Phone Numbers"))</f>
        <v/>
      </c>
    </row>
    <row r="59" spans="1:3" hidden="1" x14ac:dyDescent="0.35">
      <c r="A59" t="str">
        <f>IF(OR(B59="",B59="(Blank)"),"",COUNTIFS($B$2:B59,"&lt;&gt;(Blank)"))</f>
        <v/>
      </c>
      <c r="C59" t="str">
        <f>IF(OR(B59="(Blank)",B59=""),"",IFERROR(IF(VLOOKUP(B59,Table1[[#All],[sales_owner__username]],1,0)=B59,""),"Need To add to Phone Numbers"))</f>
        <v/>
      </c>
    </row>
    <row r="60" spans="1:3" hidden="1" x14ac:dyDescent="0.35">
      <c r="A60" t="str">
        <f>IF(OR(B60="",B60="(Blank)"),"",COUNTIFS($B$2:B60,"&lt;&gt;(Blank)"))</f>
        <v/>
      </c>
      <c r="C60" t="str">
        <f>IF(OR(B60="(Blank)",B60=""),"",IFERROR(IF(VLOOKUP(B60,Table1[[#All],[sales_owner__username]],1,0)=B60,""),"Need To add to Phone Numbers"))</f>
        <v/>
      </c>
    </row>
    <row r="61" spans="1:3" hidden="1" x14ac:dyDescent="0.35">
      <c r="A61" t="str">
        <f>IF(OR(B61="",B61="(Blank)"),"",COUNTIFS($B$2:B61,"&lt;&gt;(Blank)"))</f>
        <v/>
      </c>
      <c r="C61" t="str">
        <f>IF(OR(B61="(Blank)",B61=""),"",IFERROR(IF(VLOOKUP(B61,Table1[[#All],[sales_owner__username]],1,0)=B61,""),"Need To add to Phone Numbers"))</f>
        <v/>
      </c>
    </row>
    <row r="62" spans="1:3" hidden="1" x14ac:dyDescent="0.35">
      <c r="A62" t="str">
        <f>IF(OR(B62="",B62="(Blank)"),"",COUNTIFS($B$2:B62,"&lt;&gt;(Blank)"))</f>
        <v/>
      </c>
      <c r="C62" t="str">
        <f>IF(OR(B62="(Blank)",B62=""),"",IFERROR(IF(VLOOKUP(B62,Table1[[#All],[sales_owner__username]],1,0)=B62,""),"Need To add to Phone Numbers"))</f>
        <v/>
      </c>
    </row>
    <row r="63" spans="1:3" hidden="1" x14ac:dyDescent="0.35">
      <c r="A63" t="str">
        <f>IF(OR(B63="",B63="(Blank)"),"",COUNTIFS($B$2:B63,"&lt;&gt;(Blank)"))</f>
        <v/>
      </c>
      <c r="C63" t="str">
        <f>IF(OR(B63="(Blank)",B63=""),"",IFERROR(IF(VLOOKUP(B63,Table1[[#All],[sales_owner__username]],1,0)=B63,""),"Need To add to Phone Numbers"))</f>
        <v/>
      </c>
    </row>
  </sheetData>
  <autoFilter ref="A1:C63">
    <filterColumn colId="2">
      <customFilters>
        <customFilter operator="notEqual" val=" "/>
      </customFilters>
    </filterColumn>
  </autoFilter>
  <conditionalFormatting sqref="C2:C63">
    <cfRule type="cellIs" dxfId="0" priority="1" operator="notEqual">
      <formula>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B4" sqref="B4:B5"/>
    </sheetView>
  </sheetViews>
  <sheetFormatPr defaultRowHeight="14.5" x14ac:dyDescent="0.35"/>
  <cols>
    <col min="1" max="1" width="18" bestFit="1" customWidth="1"/>
    <col min="2" max="2" width="27.54296875" customWidth="1"/>
  </cols>
  <sheetData>
    <row r="1" spans="1:2" x14ac:dyDescent="0.35">
      <c r="A1" t="s">
        <v>33</v>
      </c>
      <c r="B1" t="s">
        <v>78</v>
      </c>
    </row>
    <row r="2" spans="1:2" x14ac:dyDescent="0.35">
      <c r="A2" t="s">
        <v>66</v>
      </c>
      <c r="B2" s="14" t="s">
        <v>81</v>
      </c>
    </row>
    <row r="3" spans="1:2" x14ac:dyDescent="0.35">
      <c r="A3" t="s">
        <v>46</v>
      </c>
      <c r="B3" s="14" t="s">
        <v>80</v>
      </c>
    </row>
    <row r="4" spans="1:2" x14ac:dyDescent="0.35">
      <c r="A4" t="s">
        <v>29</v>
      </c>
      <c r="B4" s="14" t="s">
        <v>81</v>
      </c>
    </row>
    <row r="5" spans="1:2" x14ac:dyDescent="0.35">
      <c r="A5" t="s">
        <v>43</v>
      </c>
      <c r="B5" s="14" t="s">
        <v>80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Tablib Dataset</vt:lpstr>
      <vt:lpstr>send via whatsapp</vt:lpstr>
      <vt:lpstr>Sales Owner Filter</vt:lpstr>
      <vt:lpstr>Sales Owner Phone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</dc:creator>
  <cp:lastModifiedBy>Mohamed Ahmed Ali Ahmed</cp:lastModifiedBy>
  <dcterms:created xsi:type="dcterms:W3CDTF">2022-12-12T14:25:23Z</dcterms:created>
  <dcterms:modified xsi:type="dcterms:W3CDTF">2022-12-15T00:01:48Z</dcterms:modified>
</cp:coreProperties>
</file>